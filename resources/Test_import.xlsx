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3FE24955-2696-40DD-9215-D8E817D702DA}" xr6:coauthVersionLast="47" xr6:coauthVersionMax="47" xr10:uidLastSave="{00000000-0000-0000-0000-000000000000}"/>
  <bookViews>
    <workbookView xWindow="-108" yWindow="-108" windowWidth="23256" windowHeight="12456" xr2:uid="{7BB19622-49C4-4242-B1EB-865F42CFBC30}"/>
  </bookViews>
  <sheets>
    <sheet name="Parametres simulation" sheetId="1" r:id="rId1"/>
    <sheet name="Profil digestion" sheetId="2" r:id="rId2"/>
    <sheet name="Particules" sheetId="4" r:id="rId3"/>
    <sheet name="Parametres repa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F2" i="3"/>
</calcChain>
</file>

<file path=xl/sharedStrings.xml><?xml version="1.0" encoding="utf-8"?>
<sst xmlns="http://schemas.openxmlformats.org/spreadsheetml/2006/main" count="28" uniqueCount="28">
  <si>
    <t>Débit d'entrée enzyme</t>
  </si>
  <si>
    <t>Période d'entrée enzyme</t>
  </si>
  <si>
    <t>Durée totale de simulation</t>
  </si>
  <si>
    <t>Pas de temps</t>
  </si>
  <si>
    <t>Débit de transition</t>
  </si>
  <si>
    <t>Nom du profil</t>
  </si>
  <si>
    <t>Test1</t>
  </si>
  <si>
    <t>Nom de la config</t>
  </si>
  <si>
    <t>Débit du va et vient</t>
  </si>
  <si>
    <t>Période de brassage de l'émulsion</t>
  </si>
  <si>
    <t>Humain</t>
  </si>
  <si>
    <t>Bœuf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</si>
  <si>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</si>
  <si>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</si>
  <si>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</si>
  <si>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</si>
  <si>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</si>
  <si>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Débit d'entrée de repas</t>
  </si>
  <si>
    <t>Période d'entrée de repas</t>
  </si>
  <si>
    <t>Taille des particules</t>
  </si>
  <si>
    <t>Densité des particules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</si>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</sst>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  <xf numFmtId="11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tabSelected="1" topLeftCell="E1" workbookViewId="0">
      <selection activeCell="E2" sqref="E2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7</v>
      </c>
      <c r="B1" s="7" t="s">
        <v>26</v>
      </c>
      <c r="C1" s="4" t="s">
        <v>0</v>
      </c>
      <c r="D1" s="4" t="s">
        <v>1</v>
      </c>
      <c r="E1" s="4" t="s">
        <v>2</v>
      </c>
      <c r="F1" s="4" t="s">
        <v>3</v>
      </c>
      <c r="G1" s="3" t="s">
        <v>4</v>
      </c>
    </row>
    <row r="2" spans="1:7" x14ac:dyDescent="0.3">
      <c r="A2" s="5" t="s">
        <v>6</v>
      </c>
      <c r="B2" s="5">
        <v>50</v>
      </c>
      <c r="C2" s="5">
        <v>2</v>
      </c>
      <c r="D2" s="5">
        <v>7200</v>
      </c>
      <c r="E2" s="5">
        <v>20000</v>
      </c>
      <c r="F2" s="5">
        <v>10</v>
      </c>
      <c r="G2" s="1">
        <v>4</v>
      </c>
    </row>
    <row r="3" spans="1:7" x14ac:dyDescent="0.3">
      <c r="A3" s="5"/>
      <c r="B3" s="5"/>
      <c r="C3" s="5"/>
      <c r="D3" s="5"/>
      <c r="E3" s="5"/>
      <c r="F3" s="5"/>
      <c r="G3" s="1"/>
    </row>
    <row r="4" spans="1:7" x14ac:dyDescent="0.3">
      <c r="A4" s="5"/>
      <c r="B4" s="5"/>
      <c r="C4" s="5"/>
      <c r="D4" s="5"/>
      <c r="E4" s="5"/>
      <c r="F4" s="5"/>
      <c r="G4" s="1"/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topLeftCell="G1" workbookViewId="0">
      <selection activeCell="H28" sqref="H28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5</v>
      </c>
      <c r="B1" s="4" t="s">
        <v>8</v>
      </c>
      <c r="C1" s="4" t="s">
        <v>12</v>
      </c>
      <c r="D1" s="4" t="s">
        <v>22</v>
      </c>
      <c r="E1" s="4" t="s">
        <v>13</v>
      </c>
      <c r="F1" s="4" t="s">
        <v>14</v>
      </c>
      <c r="G1" s="4" t="s">
        <v>9</v>
      </c>
      <c r="H1" s="4" t="s">
        <v>15</v>
      </c>
      <c r="I1" s="4" t="s">
        <v>16</v>
      </c>
    </row>
    <row r="2" spans="1:9" x14ac:dyDescent="0.3">
      <c r="A2" s="8" t="s">
        <v>10</v>
      </c>
      <c r="B2" s="8">
        <v>2</v>
      </c>
      <c r="C2" s="8">
        <v>8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 t="s">
        <v>11</v>
      </c>
      <c r="B3" s="5">
        <v>10</v>
      </c>
      <c r="C3" s="5">
        <v>20</v>
      </c>
      <c r="D3" s="5">
        <v>100</v>
      </c>
      <c r="E3" s="5">
        <v>80</v>
      </c>
      <c r="F3" s="5">
        <v>50</v>
      </c>
      <c r="G3" s="5">
        <v>10</v>
      </c>
      <c r="H3" s="5">
        <v>200</v>
      </c>
      <c r="I3" s="1">
        <v>4</v>
      </c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17"/>
  <sheetViews>
    <sheetView workbookViewId="0">
      <selection activeCell="C18" sqref="C18"/>
    </sheetView>
  </sheetViews>
  <sheetFormatPr baseColWidth="10" defaultRowHeight="14.4" x14ac:dyDescent="0.3"/>
  <cols>
    <col min="2" max="2" width="12.88671875" customWidth="1"/>
    <col min="5" max="6" width="11.5546875" customWidth="1"/>
  </cols>
  <sheetData>
    <row r="1" spans="1:3" x14ac:dyDescent="0.3">
      <c r="A1" t="s">
        <v>23</v>
      </c>
      <c r="B1" t="s">
        <v>25</v>
      </c>
      <c r="C1" t="s">
        <v>24</v>
      </c>
    </row>
    <row r="2" spans="1:3" x14ac:dyDescent="0.3">
      <c r="A2">
        <v>2100</v>
      </c>
      <c r="B2">
        <f>1/16</f>
        <v>6.25E-2</v>
      </c>
      <c r="C2">
        <v>30</v>
      </c>
    </row>
    <row r="3" spans="1:3" x14ac:dyDescent="0.3">
      <c r="A3">
        <v>2100</v>
      </c>
      <c r="B3">
        <f>3/32</f>
        <v>9.375E-2</v>
      </c>
      <c r="C3">
        <v>30</v>
      </c>
    </row>
    <row r="4" spans="1:3" x14ac:dyDescent="0.3">
      <c r="A4">
        <v>2100</v>
      </c>
      <c r="B4">
        <f>1/8</f>
        <v>0.125</v>
      </c>
      <c r="C4">
        <v>30</v>
      </c>
    </row>
    <row r="5" spans="1:3" x14ac:dyDescent="0.3">
      <c r="A5">
        <v>2100</v>
      </c>
      <c r="B5">
        <f>5/32</f>
        <v>0.15625</v>
      </c>
      <c r="C5">
        <v>30</v>
      </c>
    </row>
    <row r="6" spans="1:3" x14ac:dyDescent="0.3">
      <c r="A6">
        <v>900</v>
      </c>
      <c r="B6">
        <f>1/16</f>
        <v>6.25E-2</v>
      </c>
      <c r="C6">
        <v>30</v>
      </c>
    </row>
    <row r="7" spans="1:3" x14ac:dyDescent="0.3">
      <c r="A7">
        <v>900</v>
      </c>
      <c r="B7">
        <f>3/32</f>
        <v>9.375E-2</v>
      </c>
      <c r="C7">
        <v>30</v>
      </c>
    </row>
    <row r="8" spans="1:3" x14ac:dyDescent="0.3">
      <c r="A8">
        <v>900</v>
      </c>
      <c r="B8">
        <f>1/8</f>
        <v>0.125</v>
      </c>
      <c r="C8">
        <v>30</v>
      </c>
    </row>
    <row r="9" spans="1:3" x14ac:dyDescent="0.3">
      <c r="A9">
        <v>900</v>
      </c>
      <c r="B9">
        <f>5/32</f>
        <v>0.15625</v>
      </c>
      <c r="C9">
        <v>30</v>
      </c>
    </row>
    <row r="10" spans="1:3" x14ac:dyDescent="0.3">
      <c r="A10">
        <v>1140</v>
      </c>
      <c r="B10">
        <f>1/16</f>
        <v>6.25E-2</v>
      </c>
      <c r="C10">
        <v>30</v>
      </c>
    </row>
    <row r="11" spans="1:3" x14ac:dyDescent="0.3">
      <c r="A11">
        <v>1140</v>
      </c>
      <c r="B11">
        <f>3/32</f>
        <v>9.375E-2</v>
      </c>
      <c r="C11">
        <v>30</v>
      </c>
    </row>
    <row r="12" spans="1:3" x14ac:dyDescent="0.3">
      <c r="A12">
        <v>1140</v>
      </c>
      <c r="B12">
        <f>1/8</f>
        <v>0.125</v>
      </c>
      <c r="C12">
        <v>30</v>
      </c>
    </row>
    <row r="13" spans="1:3" x14ac:dyDescent="0.3">
      <c r="A13">
        <v>1140</v>
      </c>
      <c r="B13">
        <f>5/32</f>
        <v>0.15625</v>
      </c>
      <c r="C13">
        <v>30</v>
      </c>
    </row>
    <row r="14" spans="1:3" x14ac:dyDescent="0.3">
      <c r="A14">
        <v>980</v>
      </c>
      <c r="B14">
        <f>1/16</f>
        <v>6.25E-2</v>
      </c>
      <c r="C14">
        <v>30</v>
      </c>
    </row>
    <row r="15" spans="1:3" x14ac:dyDescent="0.3">
      <c r="A15">
        <v>980</v>
      </c>
      <c r="B15">
        <f>3/32</f>
        <v>9.375E-2</v>
      </c>
      <c r="C15">
        <v>30</v>
      </c>
    </row>
    <row r="16" spans="1:3" x14ac:dyDescent="0.3">
      <c r="A16">
        <v>980</v>
      </c>
      <c r="B16">
        <f>1/8</f>
        <v>0.125</v>
      </c>
      <c r="C16">
        <v>30</v>
      </c>
    </row>
    <row r="17" spans="1:3" x14ac:dyDescent="0.3">
      <c r="A17">
        <v>980</v>
      </c>
      <c r="B17">
        <f>5/32</f>
        <v>0.15625</v>
      </c>
      <c r="C17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F18"/>
  <sheetViews>
    <sheetView workbookViewId="0">
      <selection activeCell="C6" sqref="C6"/>
    </sheetView>
  </sheetViews>
  <sheetFormatPr baseColWidth="10" defaultRowHeight="14.4" x14ac:dyDescent="0.3"/>
  <cols>
    <col min="1" max="1" width="20" customWidth="1"/>
    <col min="2" max="2" width="23" customWidth="1"/>
    <col min="3" max="3" width="17.5546875" customWidth="1"/>
    <col min="4" max="4" width="19" customWidth="1"/>
    <col min="6" max="6" width="14.44140625" customWidth="1"/>
  </cols>
  <sheetData>
    <row r="1" spans="1:6" ht="15" thickBot="1" x14ac:dyDescent="0.3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27</v>
      </c>
    </row>
    <row r="2" spans="1:6" x14ac:dyDescent="0.3">
      <c r="A2" s="8">
        <v>30</v>
      </c>
      <c r="B2" s="8">
        <v>900</v>
      </c>
      <c r="C2" s="9">
        <v>1.0000000000000001E-5</v>
      </c>
      <c r="D2" s="8">
        <v>0.98</v>
      </c>
      <c r="E2" s="1">
        <v>0.1</v>
      </c>
      <c r="F2" s="1">
        <f>SUM(Particules!C1:C100)</f>
        <v>480</v>
      </c>
    </row>
    <row r="3" spans="1:6" x14ac:dyDescent="0.3">
      <c r="A3" s="5"/>
      <c r="B3" s="5"/>
      <c r="C3" s="5"/>
      <c r="D3" s="5"/>
      <c r="E3" s="1"/>
      <c r="F3" s="1"/>
    </row>
    <row r="4" spans="1:6" x14ac:dyDescent="0.3">
      <c r="A4" s="5"/>
      <c r="B4" s="5"/>
      <c r="C4" s="5"/>
      <c r="D4" s="5"/>
      <c r="E4" s="1"/>
      <c r="F4" s="1"/>
    </row>
    <row r="5" spans="1:6" x14ac:dyDescent="0.3">
      <c r="A5" s="5"/>
      <c r="B5" s="5"/>
      <c r="C5" s="5"/>
      <c r="D5" s="5"/>
      <c r="E5" s="1"/>
      <c r="F5" s="1"/>
    </row>
    <row r="6" spans="1:6" x14ac:dyDescent="0.3">
      <c r="A6" s="5"/>
      <c r="B6" s="5"/>
      <c r="C6" s="5"/>
      <c r="D6" s="5"/>
      <c r="E6" s="1"/>
      <c r="F6" s="1"/>
    </row>
    <row r="7" spans="1:6" x14ac:dyDescent="0.3">
      <c r="A7" s="5"/>
      <c r="B7" s="5"/>
      <c r="C7" s="5"/>
      <c r="D7" s="5"/>
      <c r="E7" s="1"/>
      <c r="F7" s="1"/>
    </row>
    <row r="8" spans="1:6" x14ac:dyDescent="0.3">
      <c r="A8" s="5"/>
      <c r="B8" s="5"/>
      <c r="C8" s="5"/>
      <c r="D8" s="5"/>
      <c r="E8" s="1"/>
      <c r="F8" s="1"/>
    </row>
    <row r="9" spans="1:6" x14ac:dyDescent="0.3">
      <c r="A9" s="5"/>
      <c r="B9" s="5"/>
      <c r="C9" s="5"/>
      <c r="D9" s="5"/>
      <c r="E9" s="1"/>
      <c r="F9" s="1"/>
    </row>
    <row r="10" spans="1:6" x14ac:dyDescent="0.3">
      <c r="A10" s="5"/>
      <c r="B10" s="5"/>
      <c r="C10" s="5"/>
      <c r="D10" s="5"/>
      <c r="E10" s="1"/>
      <c r="F10" s="1"/>
    </row>
    <row r="11" spans="1:6" x14ac:dyDescent="0.3">
      <c r="A11" s="5"/>
      <c r="B11" s="5"/>
      <c r="C11" s="5"/>
      <c r="D11" s="5"/>
      <c r="E11" s="1"/>
      <c r="F11" s="1"/>
    </row>
    <row r="12" spans="1:6" x14ac:dyDescent="0.3">
      <c r="A12" s="5"/>
      <c r="B12" s="5"/>
      <c r="C12" s="5"/>
      <c r="D12" s="5"/>
      <c r="E12" s="1"/>
      <c r="F12" s="1"/>
    </row>
    <row r="13" spans="1:6" x14ac:dyDescent="0.3">
      <c r="A13" s="5"/>
      <c r="B13" s="5"/>
      <c r="C13" s="5"/>
      <c r="D13" s="5"/>
      <c r="E13" s="1"/>
      <c r="F13" s="1"/>
    </row>
    <row r="14" spans="1:6" x14ac:dyDescent="0.3">
      <c r="A14" s="5"/>
      <c r="B14" s="5"/>
      <c r="C14" s="5"/>
      <c r="D14" s="5"/>
      <c r="E14" s="1"/>
      <c r="F14" s="1"/>
    </row>
    <row r="15" spans="1:6" x14ac:dyDescent="0.3">
      <c r="A15" s="5"/>
      <c r="B15" s="5"/>
      <c r="C15" s="5"/>
      <c r="D15" s="5"/>
      <c r="E15" s="1"/>
      <c r="F15" s="1"/>
    </row>
    <row r="16" spans="1:6" x14ac:dyDescent="0.3">
      <c r="A16" s="5"/>
      <c r="B16" s="5"/>
      <c r="C16" s="5"/>
      <c r="D16" s="5"/>
      <c r="E16" s="1"/>
      <c r="F16" s="1"/>
    </row>
    <row r="17" spans="1:6" x14ac:dyDescent="0.3">
      <c r="A17" s="5"/>
      <c r="B17" s="5"/>
      <c r="C17" s="5"/>
      <c r="D17" s="5"/>
      <c r="E17" s="1"/>
      <c r="F17" s="1"/>
    </row>
    <row r="18" spans="1:6" ht="15" thickBot="1" x14ac:dyDescent="0.35">
      <c r="A18" s="6"/>
      <c r="B18" s="6"/>
      <c r="C18" s="6"/>
      <c r="D18" s="6"/>
      <c r="E18" s="2"/>
      <c r="F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Parametres simulation</vt:lpstr>
      <vt:lpstr>Profil digestion</vt:lpstr>
      <vt:lpstr>Particules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2026-07-27T18:14:51Z</dcterms:modified>
</cp:coreProperties>
</file>