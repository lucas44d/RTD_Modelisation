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A093210D-1CE6-4A94-B3A2-3C64BEC6FCD4}" xr6:coauthVersionLast="47" xr6:coauthVersionMax="47" xr10:uidLastSave="{00000000-0000-0000-0000-000000000000}"/>
  <bookViews>
    <workbookView xWindow="1848" yWindow="1944" windowWidth="17340" windowHeight="8880" xr2:uid="{7BB19622-49C4-4242-B1EB-865F42CFBC30}"/>
  </bookViews>
  <sheets>
    <sheet name="Parametres simulation" sheetId="1" r:id="rId1"/>
    <sheet name="Profil digestion" sheetId="2" r:id="rId2"/>
    <sheet name="Particules" sheetId="4" r:id="rId3"/>
    <sheet name="Feuil1" sheetId="5" r:id="rId4"/>
    <sheet name="Parametres repa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5" l="1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F2" i="3"/>
</calcChain>
</file>

<file path=xl/sharedStrings.xml><?xml version="1.0" encoding="utf-8"?>
<sst xmlns="http://schemas.openxmlformats.org/spreadsheetml/2006/main" count="29" uniqueCount="29">
  <si>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</si>
  <si>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</si>
  <si>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</si>
  <si>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</si>
  <si>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</si>
  <si>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</si>
  <si>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</si>
  <si>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</si>
  <si>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</si>
  <si>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</si>
  <si>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</si>
  <si>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</si>
  <si>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</si>
  <si>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</si>
  <si>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</si>
  <si>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</si>
  <si>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</si>
  <si>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</si>
  <si>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</si>
  <si>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</si>
  <si>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</si>
  <si>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</si>
  <si>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</si>
  <si>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</si>
  <si>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</si>
  <si>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</si>
  <si>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</si>
  <si>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</si>
  <si>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 xml:space="preserve">Tests sur les particules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</si>
</sst>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C1" workbookViewId="0">
      <selection activeCell="E2" sqref="E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26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20</v>
      </c>
      <c r="C2" s="5">
        <v>20</v>
      </c>
      <c r="D2" s="5">
        <v>30</v>
      </c>
      <c r="E2" s="5">
        <v>43200</v>
      </c>
      <c r="F2" s="5">
        <v>1</v>
      </c>
      <c r="G2" s="1">
        <v>10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G1"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22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topLeftCell="A4" workbookViewId="0">
      <selection activeCell="C18" sqref="C18"/>
    </sheetView>
  </sheetViews>
  <sheetFormatPr baseColWidth="10" defaultRowHeight="14.4" x14ac:dyDescent="0.3"/>
  <cols>
    <col min="2" max="2" width="12.88671875" customWidth="1"/>
    <col min="5" max="6" width="11.5546875" customWidth="1"/>
  </cols>
  <sheetData>
    <row r="1" spans="1:3" x14ac:dyDescent="0.3">
      <c r="A1" t="s">
        <v>23</v>
      </c>
      <c r="B1" t="s">
        <v>25</v>
      </c>
      <c r="C1" t="s">
        <v>24</v>
      </c>
    </row>
    <row r="2" spans="1:3" x14ac:dyDescent="0.3">
      <c r="A2">
        <v>2100</v>
      </c>
      <c r="B2">
        <f>1/16</f>
        <v>6.25E-2</v>
      </c>
      <c r="C2">
        <v>30</v>
      </c>
    </row>
    <row r="3" spans="1:3" x14ac:dyDescent="0.3">
      <c r="A3">
        <v>2100</v>
      </c>
      <c r="B3">
        <f>3/32</f>
        <v>9.375E-2</v>
      </c>
      <c r="C3">
        <v>30</v>
      </c>
    </row>
    <row r="4" spans="1:3" x14ac:dyDescent="0.3">
      <c r="A4">
        <v>2100</v>
      </c>
      <c r="B4">
        <f>1/8</f>
        <v>0.125</v>
      </c>
      <c r="C4">
        <v>30</v>
      </c>
    </row>
    <row r="5" spans="1:3" x14ac:dyDescent="0.3">
      <c r="A5">
        <v>2100</v>
      </c>
      <c r="B5">
        <f>5/32</f>
        <v>0.15625</v>
      </c>
      <c r="C5">
        <v>30</v>
      </c>
    </row>
    <row r="6" spans="1:3" x14ac:dyDescent="0.3">
      <c r="A6">
        <v>900</v>
      </c>
      <c r="B6">
        <f>1/16</f>
        <v>6.25E-2</v>
      </c>
      <c r="C6">
        <v>30</v>
      </c>
    </row>
    <row r="7" spans="1:3" x14ac:dyDescent="0.3">
      <c r="A7">
        <v>900</v>
      </c>
      <c r="B7">
        <f>3/32</f>
        <v>9.375E-2</v>
      </c>
      <c r="C7">
        <v>30</v>
      </c>
    </row>
    <row r="8" spans="1:3" x14ac:dyDescent="0.3">
      <c r="A8">
        <v>900</v>
      </c>
      <c r="B8">
        <f>1/8</f>
        <v>0.125</v>
      </c>
      <c r="C8">
        <v>30</v>
      </c>
    </row>
    <row r="9" spans="1:3" x14ac:dyDescent="0.3">
      <c r="A9">
        <v>900</v>
      </c>
      <c r="B9">
        <f>5/32</f>
        <v>0.15625</v>
      </c>
      <c r="C9">
        <v>30</v>
      </c>
    </row>
    <row r="10" spans="1:3" x14ac:dyDescent="0.3">
      <c r="A10">
        <v>1140</v>
      </c>
      <c r="B10">
        <f>1/16</f>
        <v>6.25E-2</v>
      </c>
      <c r="C10">
        <v>30</v>
      </c>
    </row>
    <row r="11" spans="1:3" x14ac:dyDescent="0.3">
      <c r="A11">
        <v>1140</v>
      </c>
      <c r="B11">
        <f>3/32</f>
        <v>9.375E-2</v>
      </c>
      <c r="C11">
        <v>30</v>
      </c>
    </row>
    <row r="12" spans="1:3" x14ac:dyDescent="0.3">
      <c r="A12">
        <v>1140</v>
      </c>
      <c r="B12">
        <f>1/8</f>
        <v>0.125</v>
      </c>
      <c r="C12">
        <v>30</v>
      </c>
    </row>
    <row r="13" spans="1:3" x14ac:dyDescent="0.3">
      <c r="A13">
        <v>1140</v>
      </c>
      <c r="B13">
        <f>5/32</f>
        <v>0.15625</v>
      </c>
      <c r="C13">
        <v>30</v>
      </c>
    </row>
    <row r="14" spans="1:3" x14ac:dyDescent="0.3">
      <c r="A14">
        <v>980</v>
      </c>
      <c r="B14">
        <f>1/16</f>
        <v>6.25E-2</v>
      </c>
      <c r="C14">
        <v>30</v>
      </c>
    </row>
    <row r="15" spans="1:3" x14ac:dyDescent="0.3">
      <c r="A15">
        <v>980</v>
      </c>
      <c r="B15">
        <f>3/32</f>
        <v>9.375E-2</v>
      </c>
      <c r="C15">
        <v>30</v>
      </c>
    </row>
    <row r="16" spans="1:3" x14ac:dyDescent="0.3">
      <c r="A16">
        <v>980</v>
      </c>
      <c r="B16">
        <f>1/8</f>
        <v>0.125</v>
      </c>
      <c r="C16">
        <v>30</v>
      </c>
    </row>
    <row r="17" spans="1:3" x14ac:dyDescent="0.3">
      <c r="A17">
        <v>980</v>
      </c>
      <c r="B17">
        <f>5/32</f>
        <v>0.15625</v>
      </c>
      <c r="C17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7619-311F-47F6-BC63-15F51184BE61}">
  <dimension ref="A1:C17"/>
  <sheetViews>
    <sheetView workbookViewId="0">
      <selection activeCell="C18" sqref="C18"/>
    </sheetView>
  </sheetViews>
  <sheetFormatPr baseColWidth="10" defaultRowHeight="14.4" x14ac:dyDescent="0.3"/>
  <sheetData>
    <row r="1" spans="1:3" x14ac:dyDescent="0.3">
      <c r="A1" t="s">
        <v>28</v>
      </c>
    </row>
    <row r="2" spans="1:3" x14ac:dyDescent="0.3">
      <c r="A2">
        <v>2100</v>
      </c>
      <c r="B2">
        <f>1/16</f>
        <v>6.25E-2</v>
      </c>
      <c r="C2">
        <v>76</v>
      </c>
    </row>
    <row r="3" spans="1:3" x14ac:dyDescent="0.3">
      <c r="A3">
        <v>2100</v>
      </c>
      <c r="B3">
        <f>3/32</f>
        <v>9.375E-2</v>
      </c>
      <c r="C3">
        <v>75</v>
      </c>
    </row>
    <row r="4" spans="1:3" x14ac:dyDescent="0.3">
      <c r="A4">
        <v>2100</v>
      </c>
      <c r="B4">
        <f>1/8</f>
        <v>0.125</v>
      </c>
      <c r="C4">
        <v>86</v>
      </c>
    </row>
    <row r="5" spans="1:3" x14ac:dyDescent="0.3">
      <c r="A5">
        <v>2100</v>
      </c>
      <c r="B5">
        <f>5/32</f>
        <v>0.15625</v>
      </c>
      <c r="C5">
        <v>79</v>
      </c>
    </row>
    <row r="6" spans="1:3" x14ac:dyDescent="0.3">
      <c r="A6">
        <v>900</v>
      </c>
      <c r="B6">
        <f>1/16</f>
        <v>6.25E-2</v>
      </c>
      <c r="C6">
        <v>83</v>
      </c>
    </row>
    <row r="7" spans="1:3" x14ac:dyDescent="0.3">
      <c r="A7">
        <v>900</v>
      </c>
      <c r="B7">
        <f>3/32</f>
        <v>9.375E-2</v>
      </c>
      <c r="C7">
        <v>78</v>
      </c>
    </row>
    <row r="8" spans="1:3" x14ac:dyDescent="0.3">
      <c r="A8">
        <v>900</v>
      </c>
      <c r="B8">
        <f>1/8</f>
        <v>0.125</v>
      </c>
      <c r="C8">
        <v>84</v>
      </c>
    </row>
    <row r="9" spans="1:3" x14ac:dyDescent="0.3">
      <c r="A9">
        <v>900</v>
      </c>
      <c r="B9">
        <f>5/32</f>
        <v>0.15625</v>
      </c>
      <c r="C9">
        <v>82</v>
      </c>
    </row>
    <row r="10" spans="1:3" x14ac:dyDescent="0.3">
      <c r="A10">
        <v>1140</v>
      </c>
      <c r="B10">
        <f>1/16</f>
        <v>6.25E-2</v>
      </c>
      <c r="C10">
        <v>92</v>
      </c>
    </row>
    <row r="11" spans="1:3" x14ac:dyDescent="0.3">
      <c r="A11">
        <v>1140</v>
      </c>
      <c r="B11">
        <f>3/32</f>
        <v>9.375E-2</v>
      </c>
      <c r="C11">
        <v>83</v>
      </c>
    </row>
    <row r="12" spans="1:3" x14ac:dyDescent="0.3">
      <c r="A12">
        <v>1140</v>
      </c>
      <c r="B12">
        <f>1/8</f>
        <v>0.125</v>
      </c>
      <c r="C12">
        <v>77</v>
      </c>
    </row>
    <row r="13" spans="1:3" x14ac:dyDescent="0.3">
      <c r="A13">
        <v>1140</v>
      </c>
      <c r="B13">
        <f>5/32</f>
        <v>0.15625</v>
      </c>
      <c r="C13">
        <v>84</v>
      </c>
    </row>
    <row r="14" spans="1:3" x14ac:dyDescent="0.3">
      <c r="A14">
        <v>980</v>
      </c>
      <c r="B14">
        <f>1/16</f>
        <v>6.25E-2</v>
      </c>
      <c r="C14">
        <v>76</v>
      </c>
    </row>
    <row r="15" spans="1:3" x14ac:dyDescent="0.3">
      <c r="A15">
        <v>980</v>
      </c>
      <c r="B15">
        <f>3/32</f>
        <v>9.375E-2</v>
      </c>
      <c r="C15">
        <v>89</v>
      </c>
    </row>
    <row r="16" spans="1:3" x14ac:dyDescent="0.3">
      <c r="A16">
        <v>980</v>
      </c>
      <c r="B16">
        <f>1/8</f>
        <v>0.125</v>
      </c>
      <c r="C16">
        <v>77</v>
      </c>
    </row>
    <row r="17" spans="1:3" x14ac:dyDescent="0.3">
      <c r="A17">
        <v>980</v>
      </c>
      <c r="B17">
        <f>5/32</f>
        <v>0.15625</v>
      </c>
      <c r="C17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topLeftCell="B1" workbookViewId="0">
      <selection activeCell="H7" sqref="H7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27</v>
      </c>
    </row>
    <row r="2" spans="1:6" x14ac:dyDescent="0.3">
      <c r="A2" s="8">
        <v>200</v>
      </c>
      <c r="B2" s="8">
        <v>10</v>
      </c>
      <c r="C2" s="9">
        <v>1.0000000000000001E-5</v>
      </c>
      <c r="D2" s="8">
        <v>0.98</v>
      </c>
      <c r="E2" s="1">
        <v>1</v>
      </c>
      <c r="F2" s="1">
        <f>SUM(Particules!C1:C100)</f>
        <v>480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Parametres simulation</vt:lpstr>
      <vt:lpstr>Profil digestion</vt:lpstr>
      <vt:lpstr>Particules</vt:lpstr>
      <vt:lpstr>Feuil1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2026-07-22T19:56:31Z</dcterms:modified>
</cp:coreProperties>
</file>