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Canada\UdS\Projet\RTD_Modelisation\resources\"/>
    </mc:Choice>
  </mc:AlternateContent>
  <xr:revisionPtr revIDLastSave="0" documentId="13_ncr:1_{4E6A2AAC-6954-4C53-84E7-6FABB6C2F3B3}" xr6:coauthVersionLast="47" xr6:coauthVersionMax="47" xr10:uidLastSave="{00000000-0000-0000-0000-000000000000}"/>
  <bookViews>
    <workbookView xWindow="-108" yWindow="-108" windowWidth="23256" windowHeight="12456" activeTab="3" xr2:uid="{7BB19622-49C4-4242-B1EB-865F42CFBC30}"/>
  </bookViews>
  <sheets>
    <sheet name="Parametres simulation" sheetId="1" r:id="rId1"/>
    <sheet name="Profil digestion" sheetId="2" r:id="rId2"/>
    <sheet name="Particules" sheetId="4" r:id="rId3"/>
    <sheet name="Parametres rep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/>
  <c r="B4" i="4"/>
  <c r="B2" i="4"/>
  <c r="B3" i="4"/>
  <c r="D2" i="3" l="1"/>
</calcChain>
</file>

<file path=xl/sharedStrings.xml><?xml version="1.0" encoding="utf-8"?>
<sst xmlns="http://schemas.openxmlformats.org/spreadsheetml/2006/main" count="26" uniqueCount="26">
  <si>
    <t>Débit d'entrée enzyme</t>
  </si>
  <si>
    <t>Période d'entrée enzyme</t>
  </si>
  <si>
    <t>Durée totale de simulation</t>
  </si>
  <si>
    <t>Pas de temps</t>
  </si>
  <si>
    <t>Débit de transition</t>
  </si>
  <si>
    <t>Nom du profil</t>
  </si>
  <si>
    <t>Test1</t>
  </si>
  <si>
    <t>Nom de la config</t>
  </si>
  <si>
    <t>Débit du va et vient</t>
  </si>
  <si>
    <t>Période de brassage de l'émulsion</t>
  </si>
  <si>
    <t>Humain</t>
  </si>
  <si>
    <t>Bœuf</t>
  </si>
  <si>
    <t>Période du va et vient</t>
  </si>
  <si>
    <t>Vitesse de brassage dans R2</t>
  </si>
  <si>
    <t>Vitesse de brassage de l'émulsion</t>
  </si>
  <si>
    <t>Vitesse d'agitation du va et vient de R1</t>
  </si>
  <si>
    <t>Période d'agitation du va et vient de R1</t>
  </si>
  <si>
    <t>Période d'entrée de repas</t>
  </si>
  <si>
    <t>Viscosité</t>
  </si>
  <si>
    <t>Vitesse de brassage dans R1</t>
  </si>
  <si>
    <t>Densité</t>
  </si>
  <si>
    <t>Nombre</t>
  </si>
  <si>
    <t>Taille (pouce)</t>
  </si>
  <si>
    <t>Volume enzyme (ml)</t>
  </si>
  <si>
    <t>Total particules</t>
  </si>
  <si>
    <t>Débit d'entrée de repas ml/min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</si>
</sst>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C7B3-19CB-4070-9BD5-C34B803C5B05}">
  <dimension ref="A1:G7"/>
  <sheetViews>
    <sheetView topLeftCell="C1" workbookViewId="0">
      <selection activeCell="F2" sqref="F2"/>
    </sheetView>
  </sheetViews>
  <sheetFormatPr baseColWidth="10" defaultRowHeight="14.4" x14ac:dyDescent="0.3"/>
  <cols>
    <col min="1" max="1" width="14.21875" customWidth="1"/>
    <col min="2" max="2" width="21.21875" customWidth="1"/>
    <col min="3" max="3" width="21.33203125" customWidth="1"/>
    <col min="4" max="4" width="22.21875" customWidth="1"/>
    <col min="5" max="5" width="23.5546875" customWidth="1"/>
    <col min="6" max="6" width="14.109375" customWidth="1"/>
    <col min="7" max="7" width="19.109375" customWidth="1"/>
  </cols>
  <sheetData>
    <row r="1" spans="1:7" ht="15" thickBot="1" x14ac:dyDescent="0.35">
      <c r="A1" s="7" t="s">
        <v>7</v>
      </c>
      <c r="B1" s="7" t="s">
        <v>23</v>
      </c>
      <c r="C1" s="4" t="s">
        <v>0</v>
      </c>
      <c r="D1" s="4" t="s">
        <v>1</v>
      </c>
      <c r="E1" s="4" t="s">
        <v>2</v>
      </c>
      <c r="F1" s="4" t="s">
        <v>3</v>
      </c>
      <c r="G1" s="3" t="s">
        <v>4</v>
      </c>
    </row>
    <row r="2" spans="1:7" x14ac:dyDescent="0.3">
      <c r="A2" s="5" t="s">
        <v>6</v>
      </c>
      <c r="B2" s="5">
        <v>50</v>
      </c>
      <c r="C2" s="5">
        <v>2</v>
      </c>
      <c r="D2" s="5">
        <v>7200</v>
      </c>
      <c r="E2" s="5">
        <v>23000</v>
      </c>
      <c r="F2" s="5">
        <v>15</v>
      </c>
      <c r="G2" s="1">
        <v>4</v>
      </c>
    </row>
    <row r="3" spans="1:7" x14ac:dyDescent="0.3">
      <c r="A3" s="5"/>
      <c r="B3" s="5"/>
      <c r="C3" s="5"/>
      <c r="D3" s="5"/>
      <c r="E3" s="5"/>
      <c r="F3" s="5"/>
      <c r="G3" s="1"/>
    </row>
    <row r="4" spans="1:7" x14ac:dyDescent="0.3">
      <c r="A4" s="5"/>
      <c r="B4" s="5"/>
      <c r="C4" s="5"/>
      <c r="D4" s="5"/>
      <c r="E4" s="5"/>
      <c r="F4" s="5"/>
      <c r="G4" s="1"/>
    </row>
    <row r="5" spans="1:7" x14ac:dyDescent="0.3">
      <c r="A5" s="5"/>
      <c r="B5" s="5"/>
      <c r="C5" s="5"/>
      <c r="D5" s="5"/>
      <c r="E5" s="5"/>
      <c r="F5" s="5"/>
      <c r="G5" s="1"/>
    </row>
    <row r="6" spans="1:7" x14ac:dyDescent="0.3">
      <c r="A6" s="5"/>
      <c r="B6" s="5"/>
      <c r="C6" s="5"/>
      <c r="D6" s="5"/>
      <c r="E6" s="5"/>
      <c r="F6" s="5"/>
      <c r="G6" s="1"/>
    </row>
    <row r="7" spans="1:7" ht="15" thickBot="1" x14ac:dyDescent="0.35">
      <c r="A7" s="6"/>
      <c r="B7" s="6"/>
      <c r="C7" s="6"/>
      <c r="D7" s="6"/>
      <c r="E7" s="6"/>
      <c r="F7" s="6"/>
      <c r="G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A921-60F2-474C-A0A4-508B81F79D12}">
  <dimension ref="A1:I17"/>
  <sheetViews>
    <sheetView workbookViewId="0">
      <selection activeCell="H28" sqref="H28"/>
    </sheetView>
  </sheetViews>
  <sheetFormatPr baseColWidth="10" defaultRowHeight="14.4" x14ac:dyDescent="0.3"/>
  <cols>
    <col min="1" max="1" width="16.5546875" customWidth="1"/>
    <col min="2" max="2" width="18" customWidth="1"/>
    <col min="3" max="3" width="17.77734375" customWidth="1"/>
    <col min="4" max="4" width="25.21875" customWidth="1"/>
    <col min="5" max="5" width="24.33203125" customWidth="1"/>
    <col min="6" max="6" width="28.44140625" customWidth="1"/>
    <col min="7" max="7" width="29.21875" customWidth="1"/>
    <col min="8" max="8" width="31" customWidth="1"/>
    <col min="9" max="9" width="31.33203125" customWidth="1"/>
    <col min="10" max="10" width="21.33203125" customWidth="1"/>
  </cols>
  <sheetData>
    <row r="1" spans="1:9" ht="15" thickBot="1" x14ac:dyDescent="0.35">
      <c r="A1" s="4" t="s">
        <v>5</v>
      </c>
      <c r="B1" s="4" t="s">
        <v>8</v>
      </c>
      <c r="C1" s="4" t="s">
        <v>12</v>
      </c>
      <c r="D1" s="4" t="s">
        <v>19</v>
      </c>
      <c r="E1" s="4" t="s">
        <v>13</v>
      </c>
      <c r="F1" s="4" t="s">
        <v>14</v>
      </c>
      <c r="G1" s="4" t="s">
        <v>9</v>
      </c>
      <c r="H1" s="4" t="s">
        <v>15</v>
      </c>
      <c r="I1" s="4" t="s">
        <v>16</v>
      </c>
    </row>
    <row r="2" spans="1:9" x14ac:dyDescent="0.3">
      <c r="A2" s="8" t="s">
        <v>10</v>
      </c>
      <c r="B2" s="8">
        <v>2</v>
      </c>
      <c r="C2" s="8">
        <v>8</v>
      </c>
      <c r="D2" s="8">
        <v>50</v>
      </c>
      <c r="E2" s="8">
        <v>40</v>
      </c>
      <c r="F2" s="8">
        <v>20</v>
      </c>
      <c r="G2" s="8">
        <v>5</v>
      </c>
      <c r="H2" s="8">
        <v>80</v>
      </c>
      <c r="I2" s="1">
        <v>2</v>
      </c>
    </row>
    <row r="3" spans="1:9" x14ac:dyDescent="0.3">
      <c r="A3" s="5" t="s">
        <v>11</v>
      </c>
      <c r="B3" s="5">
        <v>10</v>
      </c>
      <c r="C3" s="5">
        <v>20</v>
      </c>
      <c r="D3" s="5">
        <v>100</v>
      </c>
      <c r="E3" s="5">
        <v>80</v>
      </c>
      <c r="F3" s="5">
        <v>50</v>
      </c>
      <c r="G3" s="5">
        <v>10</v>
      </c>
      <c r="H3" s="5">
        <v>200</v>
      </c>
      <c r="I3" s="1">
        <v>4</v>
      </c>
    </row>
    <row r="4" spans="1:9" x14ac:dyDescent="0.3">
      <c r="A4" s="5"/>
      <c r="B4" s="5"/>
      <c r="C4" s="5"/>
      <c r="D4" s="5"/>
      <c r="E4" s="5"/>
      <c r="F4" s="5"/>
      <c r="G4" s="5"/>
      <c r="H4" s="5"/>
      <c r="I4" s="1"/>
    </row>
    <row r="5" spans="1:9" x14ac:dyDescent="0.3">
      <c r="A5" s="5"/>
      <c r="B5" s="5"/>
      <c r="C5" s="5"/>
      <c r="D5" s="5"/>
      <c r="E5" s="5"/>
      <c r="F5" s="5"/>
      <c r="G5" s="5"/>
      <c r="H5" s="5"/>
      <c r="I5" s="1"/>
    </row>
    <row r="6" spans="1:9" x14ac:dyDescent="0.3">
      <c r="A6" s="5"/>
      <c r="B6" s="5"/>
      <c r="C6" s="5"/>
      <c r="D6" s="5"/>
      <c r="E6" s="5"/>
      <c r="F6" s="5"/>
      <c r="G6" s="5"/>
      <c r="H6" s="5"/>
      <c r="I6" s="1"/>
    </row>
    <row r="7" spans="1:9" x14ac:dyDescent="0.3">
      <c r="A7" s="5"/>
      <c r="B7" s="5"/>
      <c r="C7" s="5"/>
      <c r="D7" s="5"/>
      <c r="E7" s="5"/>
      <c r="F7" s="5"/>
      <c r="G7" s="5"/>
      <c r="H7" s="5"/>
      <c r="I7" s="1"/>
    </row>
    <row r="8" spans="1:9" x14ac:dyDescent="0.3">
      <c r="A8" s="5"/>
      <c r="B8" s="5"/>
      <c r="C8" s="5"/>
      <c r="D8" s="5"/>
      <c r="E8" s="5"/>
      <c r="F8" s="5"/>
      <c r="G8" s="5"/>
      <c r="H8" s="5"/>
      <c r="I8" s="1"/>
    </row>
    <row r="9" spans="1:9" x14ac:dyDescent="0.3">
      <c r="A9" s="5"/>
      <c r="B9" s="5"/>
      <c r="C9" s="5"/>
      <c r="D9" s="5"/>
      <c r="E9" s="5"/>
      <c r="F9" s="5"/>
      <c r="G9" s="5"/>
      <c r="H9" s="5"/>
      <c r="I9" s="1"/>
    </row>
    <row r="10" spans="1:9" x14ac:dyDescent="0.3">
      <c r="A10" s="5"/>
      <c r="B10" s="5"/>
      <c r="C10" s="5"/>
      <c r="D10" s="5"/>
      <c r="E10" s="5"/>
      <c r="F10" s="5"/>
      <c r="G10" s="5"/>
      <c r="H10" s="5"/>
      <c r="I10" s="1"/>
    </row>
    <row r="11" spans="1:9" x14ac:dyDescent="0.3">
      <c r="A11" s="5"/>
      <c r="B11" s="5"/>
      <c r="C11" s="5"/>
      <c r="D11" s="5"/>
      <c r="E11" s="5"/>
      <c r="F11" s="5"/>
      <c r="G11" s="5"/>
      <c r="H11" s="5"/>
      <c r="I11" s="1"/>
    </row>
    <row r="12" spans="1:9" x14ac:dyDescent="0.3">
      <c r="A12" s="5"/>
      <c r="B12" s="5"/>
      <c r="C12" s="5"/>
      <c r="D12" s="5"/>
      <c r="E12" s="5"/>
      <c r="F12" s="5"/>
      <c r="G12" s="5"/>
      <c r="H12" s="5"/>
      <c r="I12" s="1"/>
    </row>
    <row r="13" spans="1:9" x14ac:dyDescent="0.3">
      <c r="A13" s="5"/>
      <c r="B13" s="5"/>
      <c r="C13" s="5"/>
      <c r="D13" s="5"/>
      <c r="E13" s="5"/>
      <c r="F13" s="5"/>
      <c r="G13" s="5"/>
      <c r="H13" s="5"/>
      <c r="I13" s="1"/>
    </row>
    <row r="14" spans="1:9" x14ac:dyDescent="0.3">
      <c r="A14" s="5"/>
      <c r="B14" s="5"/>
      <c r="C14" s="5"/>
      <c r="D14" s="5"/>
      <c r="E14" s="5"/>
      <c r="F14" s="5"/>
      <c r="G14" s="5"/>
      <c r="H14" s="5"/>
      <c r="I14" s="1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1"/>
    </row>
    <row r="16" spans="1:9" x14ac:dyDescent="0.3">
      <c r="A16" s="5"/>
      <c r="B16" s="5"/>
      <c r="C16" s="5"/>
      <c r="D16" s="5"/>
      <c r="E16" s="5"/>
      <c r="F16" s="5"/>
      <c r="G16" s="5"/>
      <c r="H16" s="5"/>
      <c r="I16" s="1"/>
    </row>
    <row r="17" spans="1:9" ht="15" thickBot="1" x14ac:dyDescent="0.35">
      <c r="A17" s="6"/>
      <c r="B17" s="6"/>
      <c r="C17" s="6"/>
      <c r="D17" s="6"/>
      <c r="E17" s="6"/>
      <c r="F17" s="6"/>
      <c r="G17" s="6"/>
      <c r="H17" s="6"/>
      <c r="I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0B4B-A19D-4754-B1A7-C90AD7791F67}">
  <dimension ref="A1:C5"/>
  <sheetViews>
    <sheetView workbookViewId="0">
      <selection activeCell="D10" sqref="D10:G23"/>
    </sheetView>
  </sheetViews>
  <sheetFormatPr baseColWidth="10" defaultRowHeight="14.4" x14ac:dyDescent="0.3"/>
  <cols>
    <col min="2" max="2" width="12.88671875" customWidth="1"/>
    <col min="4" max="4" width="12" bestFit="1" customWidth="1"/>
    <col min="5" max="6" width="11.5546875" customWidth="1"/>
  </cols>
  <sheetData>
    <row r="1" spans="1:3" x14ac:dyDescent="0.3">
      <c r="A1" t="s">
        <v>20</v>
      </c>
      <c r="B1" t="s">
        <v>22</v>
      </c>
      <c r="C1" t="s">
        <v>21</v>
      </c>
    </row>
    <row r="2" spans="1:3" x14ac:dyDescent="0.3">
      <c r="A2">
        <v>1140</v>
      </c>
      <c r="B2">
        <f>1/16</f>
        <v>6.25E-2</v>
      </c>
      <c r="C2">
        <v>1500</v>
      </c>
    </row>
    <row r="3" spans="1:3" x14ac:dyDescent="0.3">
      <c r="A3">
        <v>1140</v>
      </c>
      <c r="B3">
        <f>3/32</f>
        <v>9.375E-2</v>
      </c>
      <c r="C3">
        <v>1700</v>
      </c>
    </row>
    <row r="4" spans="1:3" x14ac:dyDescent="0.3">
      <c r="A4">
        <v>1140</v>
      </c>
      <c r="B4">
        <f>1/8</f>
        <v>0.125</v>
      </c>
      <c r="C4">
        <v>700</v>
      </c>
    </row>
    <row r="5" spans="1:3" x14ac:dyDescent="0.3">
      <c r="A5">
        <v>1140</v>
      </c>
      <c r="B5">
        <f>5/32</f>
        <v>0.15625</v>
      </c>
      <c r="C5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AA62-FFE6-4BEA-BC05-4E45C08DC32E}">
  <dimension ref="A1:D18"/>
  <sheetViews>
    <sheetView tabSelected="1" workbookViewId="0">
      <selection activeCell="B2" sqref="B2"/>
    </sheetView>
  </sheetViews>
  <sheetFormatPr baseColWidth="10" defaultRowHeight="14.4" x14ac:dyDescent="0.3"/>
  <cols>
    <col min="1" max="1" width="25.88671875" customWidth="1"/>
    <col min="2" max="2" width="23" customWidth="1"/>
    <col min="4" max="4" width="14.44140625" customWidth="1"/>
  </cols>
  <sheetData>
    <row r="1" spans="1:4" ht="15" thickBot="1" x14ac:dyDescent="0.35">
      <c r="A1" s="4" t="s">
        <v>25</v>
      </c>
      <c r="B1" s="4" t="s">
        <v>17</v>
      </c>
      <c r="C1" s="4" t="s">
        <v>18</v>
      </c>
      <c r="D1" s="4" t="s">
        <v>24</v>
      </c>
    </row>
    <row r="2" spans="1:4" x14ac:dyDescent="0.3">
      <c r="A2" s="8">
        <v>30</v>
      </c>
      <c r="B2" s="8">
        <v>900</v>
      </c>
      <c r="C2" s="1">
        <v>0.1</v>
      </c>
      <c r="D2" s="1">
        <f>SUM(Particules!C1:C100)</f>
        <v>4300</v>
      </c>
    </row>
    <row r="3" spans="1:4" x14ac:dyDescent="0.3">
      <c r="A3" s="5"/>
      <c r="B3" s="5"/>
      <c r="C3" s="1"/>
      <c r="D3" s="1"/>
    </row>
    <row r="4" spans="1:4" x14ac:dyDescent="0.3">
      <c r="A4" s="5"/>
      <c r="B4" s="5"/>
      <c r="C4" s="1"/>
      <c r="D4" s="1"/>
    </row>
    <row r="5" spans="1:4" x14ac:dyDescent="0.3">
      <c r="A5" s="5"/>
      <c r="B5" s="5"/>
      <c r="C5" s="1"/>
      <c r="D5" s="1"/>
    </row>
    <row r="6" spans="1:4" x14ac:dyDescent="0.3">
      <c r="A6" s="5"/>
      <c r="B6" s="5"/>
      <c r="C6" s="1"/>
      <c r="D6" s="1"/>
    </row>
    <row r="7" spans="1:4" x14ac:dyDescent="0.3">
      <c r="A7" s="5"/>
      <c r="B7" s="5"/>
      <c r="C7" s="1"/>
      <c r="D7" s="1"/>
    </row>
    <row r="8" spans="1:4" x14ac:dyDescent="0.3">
      <c r="A8" s="5"/>
      <c r="B8" s="5"/>
      <c r="C8" s="1"/>
      <c r="D8" s="1"/>
    </row>
    <row r="9" spans="1:4" x14ac:dyDescent="0.3">
      <c r="A9" s="5"/>
      <c r="B9" s="5"/>
      <c r="C9" s="1"/>
      <c r="D9" s="1"/>
    </row>
    <row r="10" spans="1:4" x14ac:dyDescent="0.3">
      <c r="A10" s="5"/>
      <c r="B10" s="5"/>
      <c r="C10" s="1"/>
      <c r="D10" s="1"/>
    </row>
    <row r="11" spans="1:4" x14ac:dyDescent="0.3">
      <c r="A11" s="5"/>
      <c r="B11" s="5"/>
      <c r="C11" s="1"/>
      <c r="D11" s="1"/>
    </row>
    <row r="12" spans="1:4" x14ac:dyDescent="0.3">
      <c r="A12" s="5"/>
      <c r="B12" s="5"/>
      <c r="C12" s="1"/>
      <c r="D12" s="1"/>
    </row>
    <row r="13" spans="1:4" x14ac:dyDescent="0.3">
      <c r="A13" s="5"/>
      <c r="B13" s="5"/>
      <c r="C13" s="1"/>
      <c r="D13" s="1"/>
    </row>
    <row r="14" spans="1:4" x14ac:dyDescent="0.3">
      <c r="A14" s="5"/>
      <c r="B14" s="5"/>
      <c r="C14" s="1"/>
      <c r="D14" s="1"/>
    </row>
    <row r="15" spans="1:4" x14ac:dyDescent="0.3">
      <c r="A15" s="5"/>
      <c r="B15" s="5"/>
      <c r="C15" s="1"/>
      <c r="D15" s="1"/>
    </row>
    <row r="16" spans="1:4" x14ac:dyDescent="0.3">
      <c r="A16" s="5"/>
      <c r="B16" s="5"/>
      <c r="C16" s="1"/>
      <c r="D16" s="1"/>
    </row>
    <row r="17" spans="1:4" x14ac:dyDescent="0.3">
      <c r="A17" s="5"/>
      <c r="B17" s="5"/>
      <c r="C17" s="1"/>
      <c r="D17" s="1"/>
    </row>
    <row r="18" spans="1:4" ht="15" thickBot="1" x14ac:dyDescent="0.35">
      <c r="A18" s="6"/>
      <c r="B18" s="6"/>
      <c r="C18" s="2"/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Parametres simulation</vt:lpstr>
      <vt:lpstr>Profil digestion</vt:lpstr>
      <vt:lpstr>Particules</vt:lpstr>
      <vt:lpstr>Parametres repas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Durand</dc:creator>
  <cp:lastModifiedBy>Lucas Durand</cp:lastModifiedBy>
  <dcterms:created xsi:type="dcterms:W3CDTF">2026-07-09T17:44:11Z</dcterms:created>
  <dcterms:modified xsi:type="dcterms:W3CDTF">2026-08-04T13:33:30Z</dcterms:modified>
</cp:coreProperties>
</file>