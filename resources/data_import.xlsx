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329CE6B2-1C95-4861-93F9-4FF8E9C48168}" xr6:coauthVersionLast="47" xr6:coauthVersionMax="47" xr10:uidLastSave="{00000000-0000-0000-0000-000000000000}"/>
  <bookViews>
    <workbookView xWindow="-108" yWindow="-108" windowWidth="23256" windowHeight="12456" firstSheet="3" activeTab="7" xr2:uid="{7BB19622-49C4-4242-B1EB-865F42CFBC30}"/>
  </bookViews>
  <sheets>
    <sheet name="Parametres simulation" sheetId="1" r:id="rId1"/>
    <sheet name="Pompe Transition T1" sheetId="5" r:id="rId2"/>
    <sheet name="Pompe Transition T2" sheetId="6" r:id="rId3"/>
    <sheet name="Profil digestion" sheetId="2" r:id="rId4"/>
    <sheet name="Va-et-vient tubulaire" sheetId="7" r:id="rId5"/>
    <sheet name="Brassage R1" sheetId="8" r:id="rId6"/>
    <sheet name="Parametres repas" sheetId="3" r:id="rId7"/>
    <sheet name="Particul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5" l="1"/>
  <c r="D4" i="5"/>
  <c r="D5" i="5"/>
  <c r="D2" i="5"/>
  <c r="D4" i="6"/>
  <c r="D3" i="6"/>
  <c r="D2" i="6"/>
  <c r="B5" i="4"/>
  <c r="B4" i="4"/>
  <c r="B2" i="4"/>
  <c r="B3" i="4"/>
  <c r="D2" i="3" l="1"/>
</calcChain>
</file>

<file path=xl/sharedStrings.xml><?xml version="1.0" encoding="utf-8"?>
<sst xmlns="http://schemas.openxmlformats.org/spreadsheetml/2006/main" count="34" uniqueCount="29">
  <si>
    <t>Débit d'entrée enzyme</t>
  </si>
  <si>
    <t>Période d'entrée enzyme</t>
  </si>
  <si>
    <t>Pas de temps</t>
  </si>
  <si>
    <t>Nom du profil</t>
  </si>
  <si>
    <t>Test1</t>
  </si>
  <si>
    <t>Nom de la config</t>
  </si>
  <si>
    <t>Période de brassage de l'émulsion</t>
  </si>
  <si>
    <t>Humain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</si>
  <si>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</si>
  <si>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</si>
  <si>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</si>
  <si>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</si>
  <si>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</si>
  <si>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</si>
  <si>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</si>
  <si>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</si>
  <si>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</si>
  <si>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</si>
  <si>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</si>
  <si>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</si>
  <si>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</si>
  <si>
    <t>Début période</t>
  </si>
  <si>
    <t>Fin période</t>
  </si>
  <si>
    <t>Débit (ml/min)</t>
  </si>
  <si>
    <t>volume total</t>
  </si>
  <si>
    <t>Durée active</t>
  </si>
  <si>
    <t>Durée pause</t>
  </si>
  <si>
    <t>Ordonnée à l'origine (b)</t>
  </si>
  <si>
    <t>Coefficient de pente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</si>
</sst>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6" xfId="0" applyBorder="1"/>
    <xf numFmtId="0" fontId="0" fillId="0" borderId="7" xfId="0" applyBorder="1"/>
    <xf numFmtId="21" fontId="0" fillId="0" borderId="6" xfId="0" applyNumberFormat="1" applyBorder="1"/>
    <xf numFmtId="21" fontId="0" fillId="0" borderId="4" xfId="0" applyNumberFormat="1" applyBorder="1"/>
    <xf numFmtId="21" fontId="0" fillId="0" borderId="5" xfId="0" applyNumberFormat="1" applyBorder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F7"/>
  <sheetViews>
    <sheetView topLeftCell="U1" workbookViewId="0">
      <selection activeCell="E3" sqref="E3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  <col min="8" max="8" width="21.5546875" customWidth="1"/>
  </cols>
  <sheetData>
    <row r="1" spans="1:6" ht="15" thickBot="1" x14ac:dyDescent="0.35">
      <c r="A1" s="6" t="s">
        <v>5</v>
      </c>
      <c r="B1" s="6" t="s">
        <v>16</v>
      </c>
      <c r="C1" s="3" t="s">
        <v>0</v>
      </c>
      <c r="D1" s="3" t="s">
        <v>1</v>
      </c>
      <c r="E1" s="3" t="s">
        <v>19</v>
      </c>
      <c r="F1" s="3" t="s">
        <v>2</v>
      </c>
    </row>
    <row r="2" spans="1:6" x14ac:dyDescent="0.3">
      <c r="A2" s="4" t="s">
        <v>4</v>
      </c>
      <c r="B2" s="4">
        <v>50</v>
      </c>
      <c r="C2" s="4">
        <v>2</v>
      </c>
      <c r="D2" s="4">
        <v>7200</v>
      </c>
      <c r="E2" s="4">
        <v>120</v>
      </c>
      <c r="F2" s="4">
        <v>1</v>
      </c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4"/>
      <c r="B4" s="4"/>
      <c r="C4" s="4"/>
      <c r="D4" s="4"/>
      <c r="E4" s="4"/>
      <c r="F4" s="4"/>
    </row>
    <row r="5" spans="1:6" x14ac:dyDescent="0.3">
      <c r="A5" s="4"/>
      <c r="B5" s="4"/>
      <c r="C5" s="4"/>
      <c r="D5" s="4"/>
      <c r="E5" s="4"/>
      <c r="F5" s="4"/>
    </row>
    <row r="6" spans="1:6" x14ac:dyDescent="0.3">
      <c r="A6" s="4"/>
      <c r="B6" s="4"/>
      <c r="C6" s="4"/>
      <c r="D6" s="4"/>
      <c r="E6" s="4"/>
      <c r="F6" s="4"/>
    </row>
    <row r="7" spans="1:6" ht="15" thickBot="1" x14ac:dyDescent="0.35">
      <c r="A7" s="5"/>
      <c r="B7" s="5"/>
      <c r="C7" s="5"/>
      <c r="D7" s="5"/>
      <c r="E7" s="5"/>
      <c r="F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C7B70-6843-40BF-A57D-C71357D6AB80}">
  <dimension ref="A1:D5"/>
  <sheetViews>
    <sheetView workbookViewId="0">
      <selection activeCell="G18" sqref="G18"/>
    </sheetView>
  </sheetViews>
  <sheetFormatPr baseColWidth="10" defaultRowHeight="14.4" x14ac:dyDescent="0.3"/>
  <cols>
    <col min="1" max="1" width="14.6640625" customWidth="1"/>
    <col min="2" max="2" width="14.33203125" customWidth="1"/>
    <col min="3" max="3" width="13.109375" customWidth="1"/>
  </cols>
  <sheetData>
    <row r="1" spans="1:4" ht="15" thickBot="1" x14ac:dyDescent="0.35">
      <c r="A1" s="3" t="s">
        <v>21</v>
      </c>
      <c r="B1" s="3" t="s">
        <v>22</v>
      </c>
      <c r="C1" s="3" t="s">
        <v>23</v>
      </c>
      <c r="D1" s="5" t="s">
        <v>24</v>
      </c>
    </row>
    <row r="2" spans="1:4" x14ac:dyDescent="0.3">
      <c r="A2" s="9">
        <v>2.0833333333333333E-3</v>
      </c>
      <c r="B2" s="9">
        <v>6.2500000000000003E-3</v>
      </c>
      <c r="C2" s="1">
        <v>4</v>
      </c>
      <c r="D2" s="4">
        <f>(B2-A2)*1440*C2</f>
        <v>24.000000000000004</v>
      </c>
    </row>
    <row r="3" spans="1:4" x14ac:dyDescent="0.3">
      <c r="A3" s="10">
        <v>6.2500000000000003E-3</v>
      </c>
      <c r="B3" s="10">
        <v>5.1388888888888887E-2</v>
      </c>
      <c r="C3" s="1">
        <v>7</v>
      </c>
      <c r="D3" s="4">
        <f t="shared" ref="D3:D5" si="0">(B3-A3)*1440*C3</f>
        <v>455</v>
      </c>
    </row>
    <row r="4" spans="1:4" x14ac:dyDescent="0.3">
      <c r="A4" s="10">
        <v>5.1388888888888887E-2</v>
      </c>
      <c r="B4" s="10">
        <v>7.2222222222222215E-2</v>
      </c>
      <c r="C4" s="1">
        <v>4</v>
      </c>
      <c r="D4" s="4">
        <f t="shared" si="0"/>
        <v>119.99999999999997</v>
      </c>
    </row>
    <row r="5" spans="1:4" ht="15" thickBot="1" x14ac:dyDescent="0.35">
      <c r="A5" s="11">
        <v>7.2222222222222215E-2</v>
      </c>
      <c r="B5" s="11">
        <v>8.611111111111111E-2</v>
      </c>
      <c r="C5" s="2">
        <v>3</v>
      </c>
      <c r="D5" s="5">
        <f t="shared" si="0"/>
        <v>60.000000000000021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F26CD-147B-4DCD-93E9-48B7B14504DF}">
  <dimension ref="A1:D9"/>
  <sheetViews>
    <sheetView workbookViewId="0">
      <selection activeCell="B4" sqref="B4"/>
    </sheetView>
  </sheetViews>
  <sheetFormatPr baseColWidth="10" defaultRowHeight="14.4" x14ac:dyDescent="0.3"/>
  <cols>
    <col min="1" max="1" width="17.33203125" customWidth="1"/>
    <col min="2" max="2" width="15.44140625" customWidth="1"/>
    <col min="3" max="3" width="13.33203125" customWidth="1"/>
  </cols>
  <sheetData>
    <row r="1" spans="1:4" ht="15" thickBot="1" x14ac:dyDescent="0.35">
      <c r="A1" s="3" t="s">
        <v>21</v>
      </c>
      <c r="B1" s="3" t="s">
        <v>22</v>
      </c>
      <c r="C1" s="3" t="s">
        <v>23</v>
      </c>
      <c r="D1" s="5" t="s">
        <v>24</v>
      </c>
    </row>
    <row r="2" spans="1:4" x14ac:dyDescent="0.3">
      <c r="A2" s="9">
        <v>1.2500000000000001E-2</v>
      </c>
      <c r="B2" s="9">
        <v>2.9861111111111113E-2</v>
      </c>
      <c r="C2" s="1">
        <v>9</v>
      </c>
      <c r="D2" s="4">
        <f>(B2-A2)*1440*C2</f>
        <v>225</v>
      </c>
    </row>
    <row r="3" spans="1:4" x14ac:dyDescent="0.3">
      <c r="A3" s="10">
        <v>2.9861111111111113E-2</v>
      </c>
      <c r="B3" s="10">
        <v>5.0694444444444445E-2</v>
      </c>
      <c r="C3" s="1">
        <v>7</v>
      </c>
      <c r="D3" s="4">
        <f>(B3-A3)*1440*C3</f>
        <v>210</v>
      </c>
    </row>
    <row r="4" spans="1:4" ht="15" thickBot="1" x14ac:dyDescent="0.35">
      <c r="A4" s="10">
        <v>5.0694444444444445E-2</v>
      </c>
      <c r="B4" s="10">
        <v>0.20833333333333334</v>
      </c>
      <c r="C4" s="1">
        <v>5</v>
      </c>
      <c r="D4" s="5">
        <f>(B4-A4)*1440*C4</f>
        <v>1135</v>
      </c>
    </row>
    <row r="5" spans="1:4" x14ac:dyDescent="0.3">
      <c r="A5" s="8"/>
      <c r="B5" s="8"/>
      <c r="C5" s="8"/>
    </row>
    <row r="9" spans="1:4" x14ac:dyDescent="0.3">
      <c r="B9" s="12"/>
      <c r="C9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F17"/>
  <sheetViews>
    <sheetView workbookViewId="0">
      <selection activeCell="B1" sqref="B1:B1048576"/>
    </sheetView>
  </sheetViews>
  <sheetFormatPr baseColWidth="10" defaultRowHeight="14.4" x14ac:dyDescent="0.3"/>
  <cols>
    <col min="1" max="1" width="16.5546875" customWidth="1"/>
    <col min="2" max="2" width="24.33203125" customWidth="1"/>
    <col min="3" max="3" width="28.44140625" customWidth="1"/>
    <col min="4" max="4" width="29.21875" customWidth="1"/>
    <col min="5" max="5" width="31" customWidth="1"/>
    <col min="6" max="6" width="31.33203125" customWidth="1"/>
    <col min="7" max="7" width="21.33203125" customWidth="1"/>
  </cols>
  <sheetData>
    <row r="1" spans="1:6" ht="15" thickBot="1" x14ac:dyDescent="0.35">
      <c r="A1" s="3" t="s">
        <v>3</v>
      </c>
      <c r="B1" s="3" t="s">
        <v>8</v>
      </c>
      <c r="C1" s="3" t="s">
        <v>9</v>
      </c>
      <c r="D1" s="3" t="s">
        <v>6</v>
      </c>
      <c r="E1" s="3" t="s">
        <v>10</v>
      </c>
      <c r="F1" s="3" t="s">
        <v>11</v>
      </c>
    </row>
    <row r="2" spans="1:6" x14ac:dyDescent="0.3">
      <c r="A2" s="7" t="s">
        <v>7</v>
      </c>
      <c r="B2" s="7">
        <v>40</v>
      </c>
      <c r="C2" s="7">
        <v>20</v>
      </c>
      <c r="D2" s="7">
        <v>5</v>
      </c>
      <c r="E2" s="7">
        <v>80</v>
      </c>
      <c r="F2" s="1">
        <v>2</v>
      </c>
    </row>
    <row r="3" spans="1:6" x14ac:dyDescent="0.3">
      <c r="A3" s="4"/>
      <c r="B3" s="4"/>
      <c r="C3" s="4"/>
      <c r="D3" s="4"/>
      <c r="E3" s="4"/>
      <c r="F3" s="1"/>
    </row>
    <row r="4" spans="1:6" x14ac:dyDescent="0.3">
      <c r="A4" s="4"/>
      <c r="B4" s="4"/>
      <c r="C4" s="4"/>
      <c r="D4" s="4"/>
      <c r="E4" s="4"/>
      <c r="F4" s="1"/>
    </row>
    <row r="5" spans="1:6" x14ac:dyDescent="0.3">
      <c r="A5" s="4"/>
      <c r="B5" s="4"/>
      <c r="C5" s="4"/>
      <c r="D5" s="4"/>
      <c r="E5" s="4"/>
      <c r="F5" s="1"/>
    </row>
    <row r="6" spans="1:6" x14ac:dyDescent="0.3">
      <c r="A6" s="4"/>
      <c r="B6" s="4"/>
      <c r="C6" s="4"/>
      <c r="D6" s="4"/>
      <c r="E6" s="4"/>
      <c r="F6" s="1"/>
    </row>
    <row r="7" spans="1:6" x14ac:dyDescent="0.3">
      <c r="A7" s="4"/>
      <c r="B7" s="4"/>
      <c r="C7" s="4"/>
      <c r="D7" s="4"/>
      <c r="E7" s="4"/>
      <c r="F7" s="1"/>
    </row>
    <row r="8" spans="1:6" x14ac:dyDescent="0.3">
      <c r="A8" s="4"/>
      <c r="B8" s="4"/>
      <c r="C8" s="4"/>
      <c r="D8" s="4"/>
      <c r="E8" s="4"/>
      <c r="F8" s="1"/>
    </row>
    <row r="9" spans="1:6" x14ac:dyDescent="0.3">
      <c r="A9" s="4"/>
      <c r="B9" s="4"/>
      <c r="C9" s="4"/>
      <c r="D9" s="4"/>
      <c r="E9" s="4"/>
      <c r="F9" s="1"/>
    </row>
    <row r="10" spans="1:6" x14ac:dyDescent="0.3">
      <c r="A10" s="4"/>
      <c r="B10" s="4"/>
      <c r="C10" s="4"/>
      <c r="D10" s="4"/>
      <c r="E10" s="4"/>
      <c r="F10" s="1"/>
    </row>
    <row r="11" spans="1:6" x14ac:dyDescent="0.3">
      <c r="A11" s="4"/>
      <c r="B11" s="4"/>
      <c r="C11" s="4"/>
      <c r="D11" s="4"/>
      <c r="E11" s="4"/>
      <c r="F11" s="1"/>
    </row>
    <row r="12" spans="1:6" x14ac:dyDescent="0.3">
      <c r="A12" s="4"/>
      <c r="B12" s="4"/>
      <c r="C12" s="4"/>
      <c r="D12" s="4"/>
      <c r="E12" s="4"/>
      <c r="F12" s="1"/>
    </row>
    <row r="13" spans="1:6" x14ac:dyDescent="0.3">
      <c r="A13" s="4"/>
      <c r="B13" s="4"/>
      <c r="C13" s="4"/>
      <c r="D13" s="4"/>
      <c r="E13" s="4"/>
      <c r="F13" s="1"/>
    </row>
    <row r="14" spans="1:6" x14ac:dyDescent="0.3">
      <c r="A14" s="4"/>
      <c r="B14" s="4"/>
      <c r="C14" s="4"/>
      <c r="D14" s="4"/>
      <c r="E14" s="4"/>
      <c r="F14" s="1"/>
    </row>
    <row r="15" spans="1:6" x14ac:dyDescent="0.3">
      <c r="A15" s="4"/>
      <c r="B15" s="4"/>
      <c r="C15" s="4"/>
      <c r="D15" s="4"/>
      <c r="E15" s="4"/>
      <c r="F15" s="1"/>
    </row>
    <row r="16" spans="1:6" x14ac:dyDescent="0.3">
      <c r="A16" s="4"/>
      <c r="B16" s="4"/>
      <c r="C16" s="4"/>
      <c r="D16" s="4"/>
      <c r="E16" s="4"/>
      <c r="F16" s="1"/>
    </row>
    <row r="17" spans="1:6" ht="15" thickBot="1" x14ac:dyDescent="0.35">
      <c r="A17" s="5"/>
      <c r="B17" s="5"/>
      <c r="C17" s="5"/>
      <c r="D17" s="5"/>
      <c r="E17" s="5"/>
      <c r="F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4B409-F97D-49B0-915A-7D4ECCA31099}">
  <dimension ref="A1:C2"/>
  <sheetViews>
    <sheetView workbookViewId="0">
      <selection activeCell="C2" sqref="C2"/>
    </sheetView>
  </sheetViews>
  <sheetFormatPr baseColWidth="10" defaultRowHeight="14.4" x14ac:dyDescent="0.3"/>
  <cols>
    <col min="1" max="1" width="12.6640625" customWidth="1"/>
    <col min="2" max="2" width="15.33203125" customWidth="1"/>
    <col min="3" max="3" width="14.5546875" customWidth="1"/>
  </cols>
  <sheetData>
    <row r="1" spans="1:3" ht="15" thickBot="1" x14ac:dyDescent="0.35">
      <c r="A1" s="3" t="s">
        <v>25</v>
      </c>
      <c r="B1" s="3" t="s">
        <v>26</v>
      </c>
      <c r="C1" s="3" t="s">
        <v>23</v>
      </c>
    </row>
    <row r="2" spans="1:3" ht="15" thickBot="1" x14ac:dyDescent="0.35">
      <c r="A2" s="3">
        <v>1</v>
      </c>
      <c r="B2" s="3">
        <v>2</v>
      </c>
      <c r="C2" s="3">
        <v>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9241-E2F5-4365-A9C9-8F8B52D5C83D}">
  <dimension ref="A1:B2"/>
  <sheetViews>
    <sheetView workbookViewId="0">
      <selection activeCell="B1" sqref="B1"/>
    </sheetView>
  </sheetViews>
  <sheetFormatPr baseColWidth="10" defaultRowHeight="14.4" x14ac:dyDescent="0.3"/>
  <cols>
    <col min="1" max="1" width="20.88671875" customWidth="1"/>
    <col min="2" max="2" width="22.109375" customWidth="1"/>
  </cols>
  <sheetData>
    <row r="1" spans="1:2" ht="15" thickBot="1" x14ac:dyDescent="0.35">
      <c r="A1" s="3" t="s">
        <v>28</v>
      </c>
      <c r="B1" s="3" t="s">
        <v>27</v>
      </c>
    </row>
    <row r="2" spans="1:2" ht="15" thickBot="1" x14ac:dyDescent="0.35">
      <c r="A2" s="3">
        <v>0.5</v>
      </c>
      <c r="B2" s="3"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3" t="s">
        <v>18</v>
      </c>
      <c r="B1" s="3" t="s">
        <v>20</v>
      </c>
      <c r="C1" s="3" t="s">
        <v>12</v>
      </c>
      <c r="D1" s="3" t="s">
        <v>17</v>
      </c>
    </row>
    <row r="2" spans="1:4" x14ac:dyDescent="0.3">
      <c r="A2" s="7">
        <v>30</v>
      </c>
      <c r="B2" s="7">
        <v>15</v>
      </c>
      <c r="C2" s="1">
        <v>0.1</v>
      </c>
      <c r="D2" s="1">
        <f>SUM(Particules!C1:C100)</f>
        <v>400</v>
      </c>
    </row>
    <row r="3" spans="1:4" x14ac:dyDescent="0.3">
      <c r="A3" s="4"/>
      <c r="B3" s="4"/>
      <c r="C3" s="1"/>
      <c r="D3" s="1"/>
    </row>
    <row r="4" spans="1:4" x14ac:dyDescent="0.3">
      <c r="A4" s="4"/>
      <c r="B4" s="4"/>
      <c r="C4" s="1"/>
      <c r="D4" s="1"/>
    </row>
    <row r="5" spans="1:4" x14ac:dyDescent="0.3">
      <c r="A5" s="4"/>
      <c r="B5" s="4"/>
      <c r="C5" s="1"/>
      <c r="D5" s="1"/>
    </row>
    <row r="6" spans="1:4" x14ac:dyDescent="0.3">
      <c r="A6" s="4"/>
      <c r="B6" s="4"/>
      <c r="C6" s="1"/>
      <c r="D6" s="1"/>
    </row>
    <row r="7" spans="1:4" x14ac:dyDescent="0.3">
      <c r="A7" s="4"/>
      <c r="B7" s="4"/>
      <c r="C7" s="1"/>
      <c r="D7" s="1"/>
    </row>
    <row r="8" spans="1:4" x14ac:dyDescent="0.3">
      <c r="A8" s="4"/>
      <c r="B8" s="4"/>
      <c r="C8" s="1"/>
      <c r="D8" s="1"/>
    </row>
    <row r="9" spans="1:4" x14ac:dyDescent="0.3">
      <c r="A9" s="4"/>
      <c r="B9" s="4"/>
      <c r="C9" s="1"/>
      <c r="D9" s="1"/>
    </row>
    <row r="10" spans="1:4" x14ac:dyDescent="0.3">
      <c r="A10" s="4"/>
      <c r="B10" s="4"/>
      <c r="C10" s="1"/>
      <c r="D10" s="1"/>
    </row>
    <row r="11" spans="1:4" x14ac:dyDescent="0.3">
      <c r="A11" s="4"/>
      <c r="B11" s="4"/>
      <c r="C11" s="1"/>
      <c r="D11" s="1"/>
    </row>
    <row r="12" spans="1:4" x14ac:dyDescent="0.3">
      <c r="A12" s="4"/>
      <c r="B12" s="4"/>
      <c r="C12" s="1"/>
      <c r="D12" s="1"/>
    </row>
    <row r="13" spans="1:4" x14ac:dyDescent="0.3">
      <c r="A13" s="4"/>
      <c r="B13" s="4"/>
      <c r="C13" s="1"/>
      <c r="D13" s="1"/>
    </row>
    <row r="14" spans="1:4" x14ac:dyDescent="0.3">
      <c r="A14" s="4"/>
      <c r="B14" s="4"/>
      <c r="C14" s="1"/>
      <c r="D14" s="1"/>
    </row>
    <row r="15" spans="1:4" x14ac:dyDescent="0.3">
      <c r="A15" s="4"/>
      <c r="B15" s="4"/>
      <c r="C15" s="1"/>
      <c r="D15" s="1"/>
    </row>
    <row r="16" spans="1:4" x14ac:dyDescent="0.3">
      <c r="A16" s="4"/>
      <c r="B16" s="4"/>
      <c r="C16" s="1"/>
      <c r="D16" s="1"/>
    </row>
    <row r="17" spans="1:4" x14ac:dyDescent="0.3">
      <c r="A17" s="4"/>
      <c r="B17" s="4"/>
      <c r="C17" s="1"/>
      <c r="D17" s="1"/>
    </row>
    <row r="18" spans="1:4" ht="15" thickBot="1" x14ac:dyDescent="0.35">
      <c r="A18" s="5"/>
      <c r="B18" s="5"/>
      <c r="C18" s="2"/>
      <c r="D1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tabSelected="1" workbookViewId="0">
      <selection activeCell="C5" sqref="C5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13</v>
      </c>
      <c r="B1" t="s">
        <v>15</v>
      </c>
      <c r="C1" t="s">
        <v>14</v>
      </c>
    </row>
    <row r="2" spans="1:3" x14ac:dyDescent="0.3">
      <c r="A2">
        <v>1140</v>
      </c>
      <c r="B2">
        <f>1/16</f>
        <v>6.25E-2</v>
      </c>
      <c r="C2">
        <v>100</v>
      </c>
    </row>
    <row r="3" spans="1:3" x14ac:dyDescent="0.3">
      <c r="A3">
        <v>1140</v>
      </c>
      <c r="B3">
        <f>3/32</f>
        <v>9.375E-2</v>
      </c>
      <c r="C3">
        <v>100</v>
      </c>
    </row>
    <row r="4" spans="1:3" x14ac:dyDescent="0.3">
      <c r="A4">
        <v>1140</v>
      </c>
      <c r="B4">
        <f>1/8</f>
        <v>0.125</v>
      </c>
      <c r="C4">
        <v>100</v>
      </c>
    </row>
    <row r="5" spans="1:3" x14ac:dyDescent="0.3">
      <c r="A5">
        <v>1140</v>
      </c>
      <c r="B5">
        <f>5/32</f>
        <v>0.15625</v>
      </c>
      <c r="C5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Parametres simulation</vt:lpstr>
      <vt:lpstr>Pompe Transition T1</vt:lpstr>
      <vt:lpstr>Pompe Transition T2</vt:lpstr>
      <vt:lpstr>Profil digestion</vt:lpstr>
      <vt:lpstr>Va-et-vient tubulaire</vt:lpstr>
      <vt:lpstr>Brassage R1</vt:lpstr>
      <vt:lpstr>Parametres repas</vt:lpstr>
      <vt:lpstr>Particules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2026-08-12T14:05:15Z</dcterms:modified>
</cp:coreProperties>
</file>